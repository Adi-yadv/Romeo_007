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MATLAB\"/>
    </mc:Choice>
  </mc:AlternateContent>
  <xr:revisionPtr revIDLastSave="0" documentId="8_{B7033CBB-1C8A-4573-B119-90FD1544239F}" xr6:coauthVersionLast="47" xr6:coauthVersionMax="47" xr10:uidLastSave="{00000000-0000-0000-0000-000000000000}"/>
  <bookViews>
    <workbookView xWindow="-108" yWindow="-108" windowWidth="23256" windowHeight="12456" xr2:uid="{8B20D429-B29D-4754-92B2-C46CE5D0CC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8" i="1"/>
  <c r="E17" i="1"/>
  <c r="E16" i="1"/>
  <c r="E18" i="1"/>
  <c r="E15" i="1"/>
  <c r="E11" i="1"/>
  <c r="E5" i="1"/>
  <c r="B3" i="1"/>
  <c r="E3" i="1" s="1"/>
  <c r="E9" i="1"/>
  <c r="E13" i="1"/>
  <c r="E12" i="1"/>
  <c r="E10" i="1"/>
  <c r="E2" i="1"/>
</calcChain>
</file>

<file path=xl/sharedStrings.xml><?xml version="1.0" encoding="utf-8"?>
<sst xmlns="http://schemas.openxmlformats.org/spreadsheetml/2006/main" count="72" uniqueCount="50">
  <si>
    <t>Component</t>
  </si>
  <si>
    <t>Safety Factor</t>
  </si>
  <si>
    <t>Amount to Order</t>
  </si>
  <si>
    <t>Links</t>
  </si>
  <si>
    <t>Units</t>
  </si>
  <si>
    <t>mm</t>
  </si>
  <si>
    <t>Ball bearings pillow SKF</t>
  </si>
  <si>
    <t>https://www.skf.com/in/products/mounted-bearings/ball-bearing-units/pillow-block-ball-bearing-units/productid-SY%2015%20TF</t>
  </si>
  <si>
    <t>Aluminium Extrusion 40x40</t>
  </si>
  <si>
    <t>Aluminium Extrusion 20x20</t>
  </si>
  <si>
    <t>Clippings 15mm dia</t>
  </si>
  <si>
    <t>No</t>
  </si>
  <si>
    <t>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</t>
  </si>
  <si>
    <t>1 packs</t>
  </si>
  <si>
    <t>https://robu.in/product/easymech-2020-series-3-way-end-corner-bracket-connector-with-grub-1-pcs/</t>
  </si>
  <si>
    <t>https://robu.in/product/easymech-t-shape-corner-bracket-plate-for-2020-series-aluminium-profile/</t>
  </si>
  <si>
    <t>T plate connector 20*20</t>
  </si>
  <si>
    <t>3-Way Corner Bracket Connector 20*20</t>
  </si>
  <si>
    <t>M5 nuts</t>
  </si>
  <si>
    <t>Conrner brackets 20*20 extrusion</t>
  </si>
  <si>
    <t>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#</t>
  </si>
  <si>
    <t>https://robu.in/product/easymech-2h-joining-plate-for-2020-series-aluminium-profile-2-pcs/</t>
  </si>
  <si>
    <t>Diff Pivot Flang Bearing</t>
  </si>
  <si>
    <t>https://www.amazon.in/Techtonics-Diameter-Pillow-Flange-Bearing/dp/B0DCK8WGY9?source=ps-sl-shoppingads-lpcontext&amp;ref_=fplfs&amp;psc=1&amp;smid=A394MJGYEIL46Y</t>
  </si>
  <si>
    <t>Parallel Plate connector</t>
  </si>
  <si>
    <t xml:space="preserve">Brass Inserts (M5) </t>
  </si>
  <si>
    <t>15mm dia hollow aluminium rod</t>
  </si>
  <si>
    <t>Siliding Nuts 40*40 (M8) + Bolts</t>
  </si>
  <si>
    <t>https://robu.in/product/easymech-aluminum-extrusion-end-cap-for-20x20-4-pcs/</t>
  </si>
  <si>
    <t>End Caps for Aluminum Extrusion</t>
  </si>
  <si>
    <t>H joints for 20*20 Extrusions</t>
  </si>
  <si>
    <t>https://robu.in/product/m5x12mm-brass-insert/</t>
  </si>
  <si>
    <t>Electromagnet</t>
  </si>
  <si>
    <t>https://robu.in/product/electric-sucker-electromagnet-kk-p20-15-12v/?gad_source=1&amp;gad_campaignid=20381096599&amp;gbraid=0AAAAADvLFWfDgk6z3fRLDnohJ81SPaV-t&amp;gclid=EAIaIQobChMI0KWHmt6hkAMV2X8PAh06dBeEEAQYASABEgJd_fD_BwE</t>
  </si>
  <si>
    <t>Jaw Turn Buckle (Pivot joint)</t>
  </si>
  <si>
    <t>https://www.amazon.in/TRENDYNEST-Stainless-Closed-Turnbuckle-Rigging/dp/B0FKMX5RNV</t>
  </si>
  <si>
    <t>https://www.amazon.in/uxcell-Screws-Washers-Stainless-Hexagon/dp/B098D9565X?th=1</t>
  </si>
  <si>
    <t>M8 bolts length 65mm</t>
  </si>
  <si>
    <t>M8 nylon lock nuts</t>
  </si>
  <si>
    <t>https://www.amazon.in/Stainless-Steel-Nylon-Lock-Thread/dp/B0FHGFLB6Y</t>
  </si>
  <si>
    <t>https://robu.in/product/easymech-sliding-m5-t-nut-for-20x20-aluminium-profile-10-pcs/</t>
  </si>
  <si>
    <t xml:space="preserve">Sliding Nuts 20*20 </t>
  </si>
  <si>
    <t>https://robokits.co.in/mechanical-parts/aluminium-profile-accessories/slider-square-fitting-m8-nut-for-4040-aluminium-profile-moq-10pcs?products_id=3996:43e04dd08bb1305428b0c9c8d8a2660a</t>
  </si>
  <si>
    <t>Urgent</t>
  </si>
  <si>
    <t>May find Option</t>
  </si>
  <si>
    <t>Required Amount</t>
  </si>
  <si>
    <t>Status</t>
  </si>
  <si>
    <t>Arrived</t>
  </si>
  <si>
    <t>wrong Part + Bolts???</t>
  </si>
  <si>
    <t>NOT arrived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</si>
</sst>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3" fillId="2" borderId="0" xfId="2"/>
    <xf numFmtId="0" fontId="3" fillId="2" borderId="0" xfId="2" applyAlignment="1">
      <alignment horizontal="center" vertical="center"/>
    </xf>
    <xf numFmtId="0" fontId="3" fillId="2" borderId="0" xfId="2" applyAlignment="1">
      <alignment horizontal="center"/>
    </xf>
    <xf numFmtId="0" fontId="0" fillId="3" borderId="0" xfId="0" applyFill="1"/>
    <xf numFmtId="0" fontId="0" fillId="4" borderId="0" xfId="0" applyFill="1"/>
    <xf numFmtId="0" fontId="0" fillId="3" borderId="1" xfId="0" applyFill="1" applyBorder="1"/>
    <xf numFmtId="16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1" xfId="1" applyFill="1" applyBorder="1"/>
    <xf numFmtId="0" fontId="0" fillId="0" borderId="1" xfId="0" applyBorder="1"/>
    <xf numFmtId="0" fontId="0" fillId="4" borderId="0" xfId="0" applyFill="1" applyAlignment="1">
      <alignment horizontal="center"/>
    </xf>
    <xf numFmtId="0" fontId="1" fillId="4" borderId="0" xfId="1" applyFill="1"/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</cellXfs>
  <cellStyles count="3">
    <cellStyle name="Accent3" xfId="2" builtinId="3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obu.in/product/easymech-aluminum-extrusion-end-cap-for-20x20-4-pcs/" TargetMode="External"/><Relationship Id="rId13" Type="http://schemas.openxmlformats.org/officeDocument/2006/relationships/hyperlink" Target="https://www.amazon.in/uxcell-Screws-Washers-Stainless-Hexagon/dp/B098D9565X?th=1" TargetMode="External"/><Relationship Id="rId3" Type="http://schemas.openxmlformats.org/officeDocument/2006/relationships/hyperlink" Target="https://robu.in/product/easymech-2020-series-3-way-end-corner-bracket-connector-with-grub-1-pcs/" TargetMode="External"/><Relationship Id="rId7" Type="http://schemas.openxmlformats.org/officeDocument/2006/relationships/hyperlink" Target="https://www.amazon.in/Techtonics-Diameter-Pillow-Flange-Bearing/dp/B0DCK8WGY9?source=ps-sl-shoppingads-lpcontext&amp;ref_=fplfs&amp;psc=1&amp;smid=A394MJGYEIL46Y" TargetMode="External"/><Relationship Id="rId12" Type="http://schemas.openxmlformats.org/officeDocument/2006/relationships/hyperlink" Target="https://www.amazon.in/TRENDYNEST-Stainless-Closed-Turnbuckle-Rigging/dp/B0FKMX5RNV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" TargetMode="External"/><Relationship Id="rId16" Type="http://schemas.openxmlformats.org/officeDocument/2006/relationships/hyperlink" Target="https://robokits.co.in/mechanical-parts/aluminium-profile-accessories/slider-square-fitting-m8-nut-for-4040-aluminium-profile-moq-10pcs?products_id=3996:43e04dd08bb1305428b0c9c8d8a2660a" TargetMode="External"/><Relationship Id="rId1" Type="http://schemas.openxmlformats.org/officeDocument/2006/relationships/hyperlink" Target="https://www.skf.com/in/products/mounted-bearings/ball-bearing-units/pillow-block-ball-bearing-units/productid-SY%2015%20TF" TargetMode="External"/><Relationship Id="rId6" Type="http://schemas.openxmlformats.org/officeDocument/2006/relationships/hyperlink" Target="https://robu.in/product/easymech-2h-joining-plate-for-2020-series-aluminium-profile-2-pcs/" TargetMode="External"/><Relationship Id="rId11" Type="http://schemas.openxmlformats.org/officeDocument/2006/relationships/hyperlink" Target="https://robu.in/product/electric-sucker-electromagnet-kk-p20-15-12v/?gad_source=1&amp;gad_campaignid=20381096599&amp;gbraid=0AAAAADvLFWfDgk6z3fRLDnohJ81SPaV-t&amp;gclid=EAIaIQobChMI0KWHmt6hkAMV2X8PAh06dBeEEAQYASABEgJd_fD_BwE" TargetMode="External"/><Relationship Id="rId5" Type="http://schemas.openxmlformats.org/officeDocument/2006/relationships/hyperlink" Target="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" TargetMode="External"/><Relationship Id="rId15" Type="http://schemas.openxmlformats.org/officeDocument/2006/relationships/hyperlink" Target="https://robu.in/product/easymech-sliding-m5-t-nut-for-20x20-aluminium-profile-10-pcs/" TargetMode="External"/><Relationship Id="rId10" Type="http://schemas.openxmlformats.org/officeDocument/2006/relationships/hyperlink" Target="https://robu.in/product/m5x12mm-brass-insert/" TargetMode="External"/><Relationship Id="rId4" Type="http://schemas.openxmlformats.org/officeDocument/2006/relationships/hyperlink" Target="https://robu.in/product/easymech-t-shape-corner-bracket-plate-for-2020-series-aluminium-profile/" TargetMode="External"/><Relationship Id="rId9" Type="http://schemas.openxmlformats.org/officeDocument/2006/relationships/hyperlink" Target="https://robu.in/product/easymech-2h-joining-plate-for-2020-series-aluminium-profile-2-pcs/" TargetMode="External"/><Relationship Id="rId14" Type="http://schemas.openxmlformats.org/officeDocument/2006/relationships/hyperlink" Target="https://www.amazon.in/Stainless-Steel-Nylon-Lock-Thread/dp/B0FHGFLB6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C0E43-6284-4239-8CC0-FD6AC2EB404A}">
  <dimension ref="A1:J30"/>
  <sheetViews>
    <sheetView tabSelected="1" zoomScaleNormal="100" workbookViewId="0">
      <selection activeCell="G26" sqref="G26"/>
    </sheetView>
  </sheetViews>
  <sheetFormatPr defaultRowHeight="14.4" x14ac:dyDescent="0.3"/>
  <cols>
    <col min="1" max="1" width="33.77734375" customWidth="1"/>
    <col min="2" max="3" width="15.77734375" customWidth="1"/>
    <col min="4" max="6" width="15.77734375" style="1" customWidth="1"/>
    <col min="7" max="7" width="20.6640625" customWidth="1"/>
    <col min="8" max="8" width="40.6640625" customWidth="1"/>
  </cols>
  <sheetData>
    <row r="1" spans="1:8" x14ac:dyDescent="0.3">
      <c r="A1" s="3" t="s">
        <v>0</v>
      </c>
      <c r="B1" s="4" t="s">
        <v>45</v>
      </c>
      <c r="C1" s="4" t="s">
        <v>4</v>
      </c>
      <c r="D1" s="5" t="s">
        <v>1</v>
      </c>
      <c r="E1" s="5" t="s">
        <v>2</v>
      </c>
      <c r="F1" s="4" t="s">
        <v>4</v>
      </c>
      <c r="G1" s="5" t="s">
        <v>46</v>
      </c>
      <c r="H1" s="5" t="s">
        <v>3</v>
      </c>
    </row>
    <row r="2" spans="1:8" x14ac:dyDescent="0.3">
      <c r="A2" t="s">
        <v>8</v>
      </c>
      <c r="B2">
        <v>2504</v>
      </c>
      <c r="C2" t="s">
        <v>5</v>
      </c>
      <c r="D2" s="1">
        <v>1.5</v>
      </c>
      <c r="E2" s="1">
        <f>B2*D2</f>
        <v>3756</v>
      </c>
      <c r="F2" t="s">
        <v>5</v>
      </c>
      <c r="G2" s="16" t="s">
        <v>47</v>
      </c>
    </row>
    <row r="3" spans="1:8" x14ac:dyDescent="0.3">
      <c r="A3" t="s">
        <v>9</v>
      </c>
      <c r="B3">
        <f>3390+160+40</f>
        <v>3590</v>
      </c>
      <c r="C3" t="s">
        <v>5</v>
      </c>
      <c r="D3" s="1">
        <v>1.5</v>
      </c>
      <c r="E3" s="1">
        <f>B3*D3</f>
        <v>5385</v>
      </c>
      <c r="F3" t="s">
        <v>5</v>
      </c>
      <c r="G3" s="16" t="s">
        <v>47</v>
      </c>
    </row>
    <row r="4" spans="1:8" x14ac:dyDescent="0.3">
      <c r="A4" s="8" t="s">
        <v>6</v>
      </c>
      <c r="B4" s="8">
        <v>6</v>
      </c>
      <c r="C4" s="8" t="s">
        <v>11</v>
      </c>
      <c r="D4" s="9"/>
      <c r="E4" s="10">
        <v>8</v>
      </c>
      <c r="F4" s="8" t="s">
        <v>11</v>
      </c>
      <c r="G4" s="16"/>
      <c r="H4" s="11" t="s">
        <v>7</v>
      </c>
    </row>
    <row r="5" spans="1:8" x14ac:dyDescent="0.3">
      <c r="A5" s="8" t="s">
        <v>26</v>
      </c>
      <c r="B5" s="8">
        <v>1200</v>
      </c>
      <c r="C5" s="8" t="s">
        <v>5</v>
      </c>
      <c r="D5" s="10">
        <v>1.5</v>
      </c>
      <c r="E5" s="10">
        <f>B5*D5</f>
        <v>1800</v>
      </c>
      <c r="F5" s="8" t="s">
        <v>5</v>
      </c>
      <c r="G5" s="16"/>
      <c r="H5" s="12"/>
    </row>
    <row r="6" spans="1:8" x14ac:dyDescent="0.3">
      <c r="A6" s="8" t="s">
        <v>10</v>
      </c>
      <c r="B6" s="8">
        <v>12</v>
      </c>
      <c r="C6" s="8" t="s">
        <v>11</v>
      </c>
      <c r="D6" s="10"/>
      <c r="E6" s="10" t="s">
        <v>13</v>
      </c>
      <c r="F6" s="8" t="s">
        <v>11</v>
      </c>
      <c r="G6" s="16" t="s">
        <v>47</v>
      </c>
      <c r="H6" s="11" t="s">
        <v>12</v>
      </c>
    </row>
    <row r="7" spans="1:8" x14ac:dyDescent="0.3">
      <c r="A7" s="8" t="s">
        <v>17</v>
      </c>
      <c r="B7" s="8">
        <v>8</v>
      </c>
      <c r="C7" s="8"/>
      <c r="D7" s="10"/>
      <c r="E7" s="10">
        <v>10</v>
      </c>
      <c r="F7" s="8"/>
      <c r="G7" s="16" t="s">
        <v>47</v>
      </c>
      <c r="H7" s="11" t="s">
        <v>14</v>
      </c>
    </row>
    <row r="8" spans="1:8" x14ac:dyDescent="0.3">
      <c r="A8" t="s">
        <v>34</v>
      </c>
      <c r="B8">
        <v>4</v>
      </c>
      <c r="D8" s="1">
        <v>1.5</v>
      </c>
      <c r="E8" s="1">
        <f t="shared" ref="E8:E13" si="0">B8*D8</f>
        <v>6</v>
      </c>
      <c r="F8"/>
      <c r="G8" s="15"/>
      <c r="H8" s="2" t="s">
        <v>35</v>
      </c>
    </row>
    <row r="9" spans="1:8" x14ac:dyDescent="0.3">
      <c r="A9" s="8" t="s">
        <v>16</v>
      </c>
      <c r="B9" s="8">
        <v>8</v>
      </c>
      <c r="C9" s="8"/>
      <c r="D9" s="10">
        <v>2</v>
      </c>
      <c r="E9" s="10">
        <f t="shared" si="0"/>
        <v>16</v>
      </c>
      <c r="F9" s="8"/>
      <c r="G9" s="16" t="s">
        <v>47</v>
      </c>
      <c r="H9" s="11" t="s">
        <v>15</v>
      </c>
    </row>
    <row r="10" spans="1:8" x14ac:dyDescent="0.3">
      <c r="A10" s="8" t="s">
        <v>41</v>
      </c>
      <c r="B10" s="8">
        <v>40</v>
      </c>
      <c r="C10" s="8"/>
      <c r="D10" s="10">
        <v>2</v>
      </c>
      <c r="E10" s="10">
        <f t="shared" si="0"/>
        <v>80</v>
      </c>
      <c r="F10" s="8"/>
      <c r="G10" s="16" t="s">
        <v>47</v>
      </c>
      <c r="H10" s="11" t="s">
        <v>40</v>
      </c>
    </row>
    <row r="11" spans="1:8" x14ac:dyDescent="0.3">
      <c r="A11" s="8" t="s">
        <v>18</v>
      </c>
      <c r="B11" s="8">
        <v>80</v>
      </c>
      <c r="C11" s="8"/>
      <c r="D11" s="10">
        <v>2</v>
      </c>
      <c r="E11" s="10">
        <f t="shared" si="0"/>
        <v>160</v>
      </c>
      <c r="F11" s="8"/>
      <c r="G11" s="16" t="s">
        <v>49</v>
      </c>
      <c r="H11" s="11"/>
    </row>
    <row r="12" spans="1:8" x14ac:dyDescent="0.3">
      <c r="A12" s="8" t="s">
        <v>19</v>
      </c>
      <c r="B12" s="8">
        <v>4</v>
      </c>
      <c r="C12" s="8"/>
      <c r="D12" s="10">
        <v>2</v>
      </c>
      <c r="E12" s="10">
        <f t="shared" si="0"/>
        <v>8</v>
      </c>
      <c r="F12" s="8"/>
      <c r="G12" s="16" t="s">
        <v>47</v>
      </c>
      <c r="H12" s="11" t="s">
        <v>20</v>
      </c>
    </row>
    <row r="13" spans="1:8" x14ac:dyDescent="0.3">
      <c r="A13" t="s">
        <v>24</v>
      </c>
      <c r="B13">
        <v>8</v>
      </c>
      <c r="D13" s="1">
        <v>2</v>
      </c>
      <c r="E13" s="1">
        <f t="shared" si="0"/>
        <v>16</v>
      </c>
      <c r="F13"/>
      <c r="G13" s="16" t="s">
        <v>47</v>
      </c>
      <c r="H13" s="2" t="s">
        <v>21</v>
      </c>
    </row>
    <row r="14" spans="1:8" x14ac:dyDescent="0.3">
      <c r="A14" t="s">
        <v>22</v>
      </c>
      <c r="B14">
        <v>1</v>
      </c>
      <c r="D14" s="1">
        <v>2</v>
      </c>
      <c r="E14" s="1">
        <v>2</v>
      </c>
      <c r="F14"/>
      <c r="G14" s="16" t="s">
        <v>47</v>
      </c>
      <c r="H14" s="2" t="s">
        <v>23</v>
      </c>
    </row>
    <row r="15" spans="1:8" x14ac:dyDescent="0.3">
      <c r="A15" t="s">
        <v>25</v>
      </c>
      <c r="B15">
        <v>25</v>
      </c>
      <c r="D15" s="1">
        <v>1.5</v>
      </c>
      <c r="E15" s="1">
        <f t="shared" ref="E15:E21" si="1">B15*D15</f>
        <v>37.5</v>
      </c>
      <c r="F15"/>
      <c r="G15" s="16" t="s">
        <v>47</v>
      </c>
      <c r="H15" s="2" t="s">
        <v>31</v>
      </c>
    </row>
    <row r="16" spans="1:8" x14ac:dyDescent="0.3">
      <c r="A16" t="s">
        <v>29</v>
      </c>
      <c r="B16">
        <v>8</v>
      </c>
      <c r="D16" s="1">
        <v>2</v>
      </c>
      <c r="E16" s="1">
        <f t="shared" si="1"/>
        <v>16</v>
      </c>
      <c r="F16"/>
      <c r="G16" s="16" t="s">
        <v>47</v>
      </c>
      <c r="H16" s="2" t="s">
        <v>28</v>
      </c>
    </row>
    <row r="17" spans="1:10" x14ac:dyDescent="0.3">
      <c r="A17" t="s">
        <v>30</v>
      </c>
      <c r="B17">
        <v>16</v>
      </c>
      <c r="D17" s="1">
        <v>2</v>
      </c>
      <c r="E17" s="1">
        <f t="shared" si="1"/>
        <v>32</v>
      </c>
      <c r="F17"/>
      <c r="G17" s="16"/>
      <c r="H17" s="2" t="s">
        <v>21</v>
      </c>
    </row>
    <row r="18" spans="1:10" x14ac:dyDescent="0.3">
      <c r="A18" t="s">
        <v>27</v>
      </c>
      <c r="B18">
        <v>40</v>
      </c>
      <c r="D18" s="1">
        <v>1.5</v>
      </c>
      <c r="E18" s="1">
        <f t="shared" si="1"/>
        <v>60</v>
      </c>
      <c r="G18" s="17" t="s">
        <v>48</v>
      </c>
      <c r="H18" s="2" t="s">
        <v>42</v>
      </c>
    </row>
    <row r="19" spans="1:10" x14ac:dyDescent="0.3">
      <c r="A19" s="8" t="s">
        <v>37</v>
      </c>
      <c r="B19" s="8">
        <v>6</v>
      </c>
      <c r="C19" s="8"/>
      <c r="D19" s="10"/>
      <c r="E19" s="10">
        <v>10</v>
      </c>
      <c r="F19" s="10"/>
      <c r="G19" s="17" t="s">
        <v>47</v>
      </c>
      <c r="H19" s="11" t="s">
        <v>36</v>
      </c>
      <c r="I19" s="8"/>
      <c r="J19" s="8"/>
    </row>
    <row r="20" spans="1:10" x14ac:dyDescent="0.3">
      <c r="A20" s="8" t="s">
        <v>38</v>
      </c>
      <c r="B20" s="8"/>
      <c r="C20" s="8"/>
      <c r="D20" s="10"/>
      <c r="E20" s="10"/>
      <c r="F20" s="10"/>
      <c r="G20" s="17"/>
      <c r="H20" s="11" t="s">
        <v>39</v>
      </c>
      <c r="I20" s="8"/>
      <c r="J20" s="8"/>
    </row>
    <row r="21" spans="1:10" x14ac:dyDescent="0.3">
      <c r="A21" s="7" t="s">
        <v>32</v>
      </c>
      <c r="B21" s="7">
        <v>1</v>
      </c>
      <c r="C21" s="7"/>
      <c r="D21" s="13">
        <v>2</v>
      </c>
      <c r="E21" s="13">
        <f t="shared" si="1"/>
        <v>2</v>
      </c>
      <c r="F21" s="13"/>
      <c r="G21" s="15" t="s">
        <v>47</v>
      </c>
      <c r="H21" s="14" t="s">
        <v>33</v>
      </c>
    </row>
    <row r="29" spans="1:10" x14ac:dyDescent="0.3">
      <c r="A29" s="6"/>
      <c r="B29" t="s">
        <v>43</v>
      </c>
    </row>
    <row r="30" spans="1:10" x14ac:dyDescent="0.3">
      <c r="A30" s="7"/>
      <c r="B30" t="s">
        <v>44</v>
      </c>
    </row>
  </sheetData>
  <phoneticPr fontId="2" type="noConversion"/>
  <hyperlinks>
    <hyperlink ref="H4" r:id="rId1" xr:uid="{5249FA7E-244F-41E4-A220-5BB122C28167}"/>
    <hyperlink ref="H6" r:id="rId2" display="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" xr:uid="{EB8E82D2-AF40-4BA3-9E77-89CFAA604FED}"/>
    <hyperlink ref="H7" r:id="rId3" xr:uid="{63D95A08-E63B-4E48-B999-70F800C91867}"/>
    <hyperlink ref="H9" r:id="rId4" xr:uid="{BE6747B1-6E3C-44E6-A42B-08E45940C02C}"/>
    <hyperlink ref="H12" r:id="rId5" display="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#" xr:uid="{401ABC69-512D-4121-A38F-91404D0FAA14}"/>
    <hyperlink ref="H13" r:id="rId6" xr:uid="{620DD9C1-9C7C-4F38-8468-69E3E60C5EBB}"/>
    <hyperlink ref="H14" r:id="rId7" xr:uid="{BF42288A-855D-4AF4-8110-0420B22E4D1D}"/>
    <hyperlink ref="H16" r:id="rId8" xr:uid="{5B61EAC7-FAA9-4738-ADFE-4832EEF3165D}"/>
    <hyperlink ref="H17" r:id="rId9" xr:uid="{BA503AA3-3878-4C77-8CE5-6D535A7CF764}"/>
    <hyperlink ref="H15" r:id="rId10" xr:uid="{B1DF8262-3868-4D2E-BADC-B5A8A2E46E32}"/>
    <hyperlink ref="H21" r:id="rId11" xr:uid="{D27A027F-3EFF-4D0A-B918-2D8880A48F24}"/>
    <hyperlink ref="H8" r:id="rId12" xr:uid="{1EDA434E-70C6-421D-A333-2774E8B1CE04}"/>
    <hyperlink ref="H19" r:id="rId13" xr:uid="{B49CB4B7-F871-470C-94F0-27BB38BF181A}"/>
    <hyperlink ref="H20" r:id="rId14" xr:uid="{E8A1F4A3-AC97-4B6C-B8DF-58AA04D2303D}"/>
    <hyperlink ref="H10" r:id="rId15" xr:uid="{4AE8AD4C-EC66-40BB-8F69-697F7C0865F5}"/>
    <hyperlink ref="H18" r:id="rId16" xr:uid="{0B767714-0273-49A5-B1EA-55BCFFCB10B4}"/>
  </hyperlinks>
  <pageMargins left="0.7" right="0.7" top="0.75" bottom="0.75" header="0.3" footer="0.3"/>
  <pageSetup orientation="portrait" horizontalDpi="300" verticalDpi="300"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CB0EEC849E8341901631B3A49B2A35" ma:contentTypeVersion="6" ma:contentTypeDescription="Create a new document." ma:contentTypeScope="" ma:versionID="9b2dcdaa88d3ea4f5364aa0dbaad7e0b">
  <xsd:schema xmlns:xsd="http://www.w3.org/2001/XMLSchema" xmlns:xs="http://www.w3.org/2001/XMLSchema" xmlns:p="http://schemas.microsoft.com/office/2006/metadata/properties" xmlns:ns3="8fe00917-3ef6-400d-a461-63d6f7630107" targetNamespace="http://schemas.microsoft.com/office/2006/metadata/properties" ma:root="true" ma:fieldsID="c2517181b70cffc4a1c5f5a0fbd39417" ns3:_="">
    <xsd:import namespace="8fe00917-3ef6-400d-a461-63d6f763010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e00917-3ef6-400d-a461-63d6f763010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e00917-3ef6-400d-a461-63d6f7630107" xsi:nil="true"/>
  </documentManagement>
</p:properties>
</file>

<file path=customXml/itemProps1.xml><?xml version="1.0" encoding="utf-8"?>
<ds:datastoreItem xmlns:ds="http://schemas.openxmlformats.org/officeDocument/2006/customXml" ds:itemID="{BF6F31C1-EF26-4ECF-AF13-A28727A404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e00917-3ef6-400d-a461-63d6f76301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BCC3AD-96C0-4BCC-A2C8-ABF537F00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8B0877-320B-4343-8C77-9D4A5874F420}">
  <ds:schemaRefs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  <ds:schemaRef ds:uri="http://purl.org/dc/elements/1.1/"/>
    <ds:schemaRef ds:uri="8fe00917-3ef6-400d-a461-63d6f7630107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 Mehta</dc:creator>
  <cp:lastModifiedBy>Manani Khushal Hareshbhai</cp:lastModifiedBy>
  <cp:lastPrinted>2025-11-17T17:32:49Z</cp:lastPrinted>
  <dcterms:created xsi:type="dcterms:W3CDTF">2025-10-07T17:25:37Z</dcterms:created>
  <dcterms:modified xsi:type="dcterms:W3CDTF">2025-11-17T17:33:25Z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0x010100BACB0EEC849E8341901631B3A49B2A35</vt:lpwstr>
  </property>
</Properties>
</file>