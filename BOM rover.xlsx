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de\OneDrive\Desktop\Romeo_007\"/>
    </mc:Choice>
  </mc:AlternateContent>
  <xr:revisionPtr revIDLastSave="0" documentId="13_ncr:1_{7B1F5DDE-B047-4899-AFB7-087166432963}" xr6:coauthVersionLast="47" xr6:coauthVersionMax="47" xr10:uidLastSave="{00000000-0000-0000-0000-000000000000}"/>
  <bookViews>
    <workbookView xWindow="-110" yWindow="-110" windowWidth="25820" windowHeight="15500" xr2:uid="{8B20D429-B29D-4754-92B2-C46CE5D0C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9" i="1"/>
  <c r="E18" i="1"/>
  <c r="E17" i="1"/>
  <c r="E20" i="1"/>
  <c r="E19" i="1"/>
  <c r="E16" i="1"/>
  <c r="E12" i="1"/>
  <c r="E6" i="1"/>
  <c r="B3" i="1"/>
  <c r="E10" i="1"/>
  <c r="E14" i="1"/>
  <c r="E13" i="1"/>
  <c r="E11" i="1"/>
  <c r="E3" i="1"/>
  <c r="E2" i="1"/>
</calcChain>
</file>

<file path=xl/sharedStrings.xml><?xml version="1.0" encoding="utf-8"?>
<sst xmlns="http://schemas.openxmlformats.org/spreadsheetml/2006/main" count="52" uniqueCount="40">
  <si>
    <t>Component</t>
  </si>
  <si>
    <t>Cut to Cut</t>
  </si>
  <si>
    <t>Safety Factor</t>
  </si>
  <si>
    <t>Amount to Order</t>
  </si>
  <si>
    <t>Links</t>
  </si>
  <si>
    <t>Units</t>
  </si>
  <si>
    <t>mm</t>
  </si>
  <si>
    <t>Ball bearings pillow SKF</t>
  </si>
  <si>
    <t>https://www.skf.com/in/products/mounted-bearings/ball-bearing-units/pillow-block-ball-bearing-units/productid-SY%2015%20TF</t>
  </si>
  <si>
    <t>Aluminium Extrusion 40x40</t>
  </si>
  <si>
    <t>Aluminium Extrusion 20x20</t>
  </si>
  <si>
    <t>Clippings 15mm dia</t>
  </si>
  <si>
    <t>No</t>
  </si>
  <si>
    <t>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</t>
  </si>
  <si>
    <t>1 packs</t>
  </si>
  <si>
    <t>Total cost (Rs)</t>
  </si>
  <si>
    <t>https://robu.in/product/easymech-2020-series-3-way-end-corner-bracket-connector-with-grub-1-pcs/</t>
  </si>
  <si>
    <t>https://robu.in/product/easymech-t-shape-corner-bracket-plate-for-2020-series-aluminium-profile/</t>
  </si>
  <si>
    <t>T plate connector 20*20</t>
  </si>
  <si>
    <t>3-Way Corner Bracket Connector 20*20</t>
  </si>
  <si>
    <t>M5 nuts</t>
  </si>
  <si>
    <t>Conrner brackets 20*20 extrusion</t>
  </si>
  <si>
    <t>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</t>
  </si>
  <si>
    <t>https://robu.in/product/easymech-2h-joining-plate-for-2020-series-aluminium-profile-2-pcs/</t>
  </si>
  <si>
    <t>Diff Pivot Flang Bearing</t>
  </si>
  <si>
    <t>https://www.amazon.in/Techtonics-Diameter-Pillow-Flange-Bearing/dp/B0DCK8WGY9?source=ps-sl-shoppingads-lpcontext&amp;ref_=fplfs&amp;psc=1&amp;smid=A394MJGYEIL46Y</t>
  </si>
  <si>
    <t>Parallel Plate connector</t>
  </si>
  <si>
    <t>Custom CNC for Motor and leg joint</t>
  </si>
  <si>
    <t xml:space="preserve">Brass Inserts (M5) </t>
  </si>
  <si>
    <t>15mm dia hollow aluminium rod</t>
  </si>
  <si>
    <t>Sliding Nuts 20*20 + Bolts</t>
  </si>
  <si>
    <t>Siliding Nuts 40*40 (M8) + Bolts</t>
  </si>
  <si>
    <t>M8 bolts length 80mm</t>
  </si>
  <si>
    <t>https://robu.in/product/easymech-aluminum-extrusion-end-cap-for-20x20-4-pcs/</t>
  </si>
  <si>
    <t>End Caps for Aluminum Extrusion</t>
  </si>
  <si>
    <t>H joints for 20*20 Extrusions</t>
  </si>
  <si>
    <t>https://robu.in/product/m5x12mm-brass-insert/</t>
  </si>
  <si>
    <t>Electromagnet</t>
  </si>
  <si>
    <t>https://robu.in/product/electric-sucker-electromagnet-kk-p20-15-12v/?gad_source=1&amp;gad_campaignid=20381096599&amp;gbraid=0AAAAADvLFWfDgk6z3fRLDnohJ81SPaV-t&amp;gclid=EAIaIQobChMI0KWHmt6hkAMV2X8PAh06dBeEEAQYASABEgJd_fD_BwE</t>
  </si>
  <si>
    <t>Jaw Turn Buckle (Pivot joint)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</si>
</sst>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16" fontId="0" fillId="0" borderId="0" xfId="0" applyNumberFormat="1" applyAlignment="1">
      <alignment horizontal="center"/>
    </xf>
    <xf numFmtId="0" fontId="0" fillId="3" borderId="0" xfId="0" applyFill="1"/>
    <xf numFmtId="0" fontId="3" fillId="2" borderId="0" xfId="2"/>
    <xf numFmtId="0" fontId="3" fillId="2" borderId="0" xfId="2" applyAlignment="1">
      <alignment horizontal="center" vertical="center"/>
    </xf>
    <xf numFmtId="0" fontId="3" fillId="2" borderId="0" xfId="2" applyAlignment="1">
      <alignment horizontal="center"/>
    </xf>
  </cellXfs>
  <cellStyles count="3">
    <cellStyle name="Accent3" xfId="2" builtinId="3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easymech-aluminum-extrusion-end-cap-for-20x20-4-pcs/" TargetMode="External"/><Relationship Id="rId3" Type="http://schemas.openxmlformats.org/officeDocument/2006/relationships/hyperlink" Target="https://robu.in/product/easymech-2020-series-3-way-end-corner-bracket-connector-with-grub-1-pcs/" TargetMode="External"/><Relationship Id="rId7" Type="http://schemas.openxmlformats.org/officeDocument/2006/relationships/hyperlink" Target="https://www.amazon.in/Techtonics-Diameter-Pillow-Flange-Bearing/dp/B0DCK8WGY9?source=ps-sl-shoppingads-lpcontext&amp;ref_=fplfs&amp;psc=1&amp;smid=A394MJGYEIL46Y" TargetMode="External"/><Relationship Id="rId2" Type="http://schemas.openxmlformats.org/officeDocument/2006/relationships/hyperlink" Target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TargetMode="External"/><Relationship Id="rId1" Type="http://schemas.openxmlformats.org/officeDocument/2006/relationships/hyperlink" Target="https://www.skf.com/in/products/mounted-bearings/ball-bearing-units/pillow-block-ball-bearing-units/productid-SY%2015%20TF" TargetMode="External"/><Relationship Id="rId6" Type="http://schemas.openxmlformats.org/officeDocument/2006/relationships/hyperlink" Target="https://robu.in/product/easymech-2h-joining-plate-for-2020-series-aluminium-profile-2-pcs/" TargetMode="External"/><Relationship Id="rId11" Type="http://schemas.openxmlformats.org/officeDocument/2006/relationships/hyperlink" Target="https://robu.in/product/electric-sucker-electromagnet-kk-p20-15-12v/?gad_source=1&amp;gad_campaignid=20381096599&amp;gbraid=0AAAAADvLFWfDgk6z3fRLDnohJ81SPaV-t&amp;gclid=EAIaIQobChMI0KWHmt6hkAMV2X8PAh06dBeEEAQYASABEgJd_fD_BwE" TargetMode="External"/><Relationship Id="rId5" Type="http://schemas.openxmlformats.org/officeDocument/2006/relationships/hyperlink" Target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" TargetMode="External"/><Relationship Id="rId10" Type="http://schemas.openxmlformats.org/officeDocument/2006/relationships/hyperlink" Target="https://robu.in/product/m5x12mm-brass-insert/" TargetMode="External"/><Relationship Id="rId4" Type="http://schemas.openxmlformats.org/officeDocument/2006/relationships/hyperlink" Target="https://robu.in/product/easymech-t-shape-corner-bracket-plate-for-2020-series-aluminium-profile/" TargetMode="External"/><Relationship Id="rId9" Type="http://schemas.openxmlformats.org/officeDocument/2006/relationships/hyperlink" Target="https://robu.in/product/easymech-2h-joining-plate-for-2020-series-aluminium-profile-2-p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0E43-6284-4239-8CC0-FD6AC2EB404A}">
  <dimension ref="A1:H21"/>
  <sheetViews>
    <sheetView tabSelected="1" zoomScaleNormal="100" workbookViewId="0">
      <selection activeCell="B23" sqref="B23"/>
    </sheetView>
  </sheetViews>
  <sheetFormatPr defaultRowHeight="14.5" x14ac:dyDescent="0.35"/>
  <cols>
    <col min="1" max="1" width="33.81640625" customWidth="1"/>
    <col min="2" max="3" width="15.81640625" customWidth="1"/>
    <col min="4" max="6" width="15.81640625" style="1" customWidth="1"/>
    <col min="7" max="7" width="20.6328125" customWidth="1"/>
    <col min="8" max="8" width="40.6328125" customWidth="1"/>
  </cols>
  <sheetData>
    <row r="1" spans="1:8" x14ac:dyDescent="0.35">
      <c r="A1" s="5" t="s">
        <v>0</v>
      </c>
      <c r="B1" s="6" t="s">
        <v>1</v>
      </c>
      <c r="C1" s="6" t="s">
        <v>5</v>
      </c>
      <c r="D1" s="7" t="s">
        <v>2</v>
      </c>
      <c r="E1" s="7" t="s">
        <v>3</v>
      </c>
      <c r="F1" s="6" t="s">
        <v>5</v>
      </c>
      <c r="G1" s="7" t="s">
        <v>15</v>
      </c>
      <c r="H1" s="7" t="s">
        <v>4</v>
      </c>
    </row>
    <row r="2" spans="1:8" x14ac:dyDescent="0.35">
      <c r="A2" t="s">
        <v>9</v>
      </c>
      <c r="B2">
        <v>2504</v>
      </c>
      <c r="C2" t="s">
        <v>6</v>
      </c>
      <c r="D2" s="1">
        <v>1.5</v>
      </c>
      <c r="E2" s="1">
        <f>B2*D2</f>
        <v>3756</v>
      </c>
      <c r="F2" t="s">
        <v>6</v>
      </c>
      <c r="G2" s="1"/>
    </row>
    <row r="3" spans="1:8" x14ac:dyDescent="0.35">
      <c r="A3" t="s">
        <v>10</v>
      </c>
      <c r="B3">
        <f>3390+160+40</f>
        <v>3590</v>
      </c>
      <c r="C3" t="s">
        <v>6</v>
      </c>
      <c r="D3" s="1">
        <v>1.5</v>
      </c>
      <c r="E3" s="1">
        <f>B3*D3</f>
        <v>5385</v>
      </c>
      <c r="F3" t="s">
        <v>6</v>
      </c>
      <c r="G3" s="1"/>
    </row>
    <row r="4" spans="1:8" x14ac:dyDescent="0.35">
      <c r="A4" t="s">
        <v>7</v>
      </c>
      <c r="B4">
        <v>6</v>
      </c>
      <c r="C4" t="s">
        <v>12</v>
      </c>
      <c r="D4" s="3"/>
      <c r="E4" s="1">
        <v>8</v>
      </c>
      <c r="F4" t="s">
        <v>12</v>
      </c>
      <c r="G4" s="1"/>
      <c r="H4" s="2" t="s">
        <v>8</v>
      </c>
    </row>
    <row r="5" spans="1:8" x14ac:dyDescent="0.35">
      <c r="A5" s="4" t="s">
        <v>27</v>
      </c>
      <c r="B5">
        <v>6</v>
      </c>
      <c r="C5" t="s">
        <v>12</v>
      </c>
      <c r="E5" s="1">
        <v>7</v>
      </c>
      <c r="F5" t="s">
        <v>12</v>
      </c>
      <c r="G5" s="1"/>
    </row>
    <row r="6" spans="1:8" x14ac:dyDescent="0.35">
      <c r="A6" t="s">
        <v>29</v>
      </c>
      <c r="B6">
        <v>1200</v>
      </c>
      <c r="C6" t="s">
        <v>6</v>
      </c>
      <c r="D6" s="1">
        <v>1.5</v>
      </c>
      <c r="E6" s="1">
        <f>B6*D6</f>
        <v>1800</v>
      </c>
      <c r="F6" t="s">
        <v>6</v>
      </c>
      <c r="G6" s="1"/>
    </row>
    <row r="7" spans="1:8" x14ac:dyDescent="0.35">
      <c r="A7" t="s">
        <v>11</v>
      </c>
      <c r="B7">
        <v>12</v>
      </c>
      <c r="C7" t="s">
        <v>12</v>
      </c>
      <c r="E7" s="1" t="s">
        <v>14</v>
      </c>
      <c r="F7" t="s">
        <v>12</v>
      </c>
      <c r="G7" s="1">
        <v>265</v>
      </c>
      <c r="H7" s="2" t="s">
        <v>13</v>
      </c>
    </row>
    <row r="8" spans="1:8" x14ac:dyDescent="0.35">
      <c r="A8" t="s">
        <v>19</v>
      </c>
      <c r="B8">
        <v>8</v>
      </c>
      <c r="E8" s="1">
        <v>10</v>
      </c>
      <c r="F8"/>
      <c r="G8" s="1"/>
      <c r="H8" s="2" t="s">
        <v>16</v>
      </c>
    </row>
    <row r="9" spans="1:8" x14ac:dyDescent="0.35">
      <c r="A9" t="s">
        <v>39</v>
      </c>
      <c r="B9">
        <v>4</v>
      </c>
      <c r="D9" s="1">
        <v>1.5</v>
      </c>
      <c r="E9" s="1">
        <f>B9*D9</f>
        <v>6</v>
      </c>
      <c r="F9"/>
      <c r="G9" s="1"/>
      <c r="H9" s="2"/>
    </row>
    <row r="10" spans="1:8" x14ac:dyDescent="0.35">
      <c r="A10" t="s">
        <v>18</v>
      </c>
      <c r="B10">
        <v>8</v>
      </c>
      <c r="D10" s="1">
        <v>2</v>
      </c>
      <c r="E10" s="1">
        <f>B10*D10</f>
        <v>16</v>
      </c>
      <c r="F10"/>
      <c r="G10" s="1"/>
      <c r="H10" s="2" t="s">
        <v>17</v>
      </c>
    </row>
    <row r="11" spans="1:8" x14ac:dyDescent="0.35">
      <c r="A11" t="s">
        <v>30</v>
      </c>
      <c r="B11">
        <v>40</v>
      </c>
      <c r="D11" s="1">
        <v>2</v>
      </c>
      <c r="E11" s="1">
        <f>B11*D11</f>
        <v>80</v>
      </c>
      <c r="F11"/>
      <c r="G11" s="1"/>
    </row>
    <row r="12" spans="1:8" x14ac:dyDescent="0.35">
      <c r="A12" t="s">
        <v>20</v>
      </c>
      <c r="B12">
        <v>40</v>
      </c>
      <c r="D12" s="1">
        <v>2</v>
      </c>
      <c r="E12" s="1">
        <f>B12*D12</f>
        <v>80</v>
      </c>
      <c r="F12"/>
      <c r="G12" s="1"/>
    </row>
    <row r="13" spans="1:8" x14ac:dyDescent="0.35">
      <c r="A13" t="s">
        <v>21</v>
      </c>
      <c r="B13">
        <v>4</v>
      </c>
      <c r="D13" s="1">
        <v>2</v>
      </c>
      <c r="E13" s="1">
        <f>B13*D13</f>
        <v>8</v>
      </c>
      <c r="F13"/>
      <c r="G13" s="1"/>
      <c r="H13" s="2" t="s">
        <v>22</v>
      </c>
    </row>
    <row r="14" spans="1:8" x14ac:dyDescent="0.35">
      <c r="A14" t="s">
        <v>26</v>
      </c>
      <c r="B14">
        <v>8</v>
      </c>
      <c r="D14" s="1">
        <v>2</v>
      </c>
      <c r="E14" s="1">
        <f>B14*D14</f>
        <v>16</v>
      </c>
      <c r="F14"/>
      <c r="G14" s="1"/>
      <c r="H14" s="2" t="s">
        <v>23</v>
      </c>
    </row>
    <row r="15" spans="1:8" x14ac:dyDescent="0.35">
      <c r="A15" t="s">
        <v>24</v>
      </c>
      <c r="B15">
        <v>1</v>
      </c>
      <c r="D15" s="1">
        <v>2</v>
      </c>
      <c r="E15" s="1">
        <v>2</v>
      </c>
      <c r="F15"/>
      <c r="G15" s="1"/>
      <c r="H15" s="2" t="s">
        <v>25</v>
      </c>
    </row>
    <row r="16" spans="1:8" x14ac:dyDescent="0.35">
      <c r="A16" t="s">
        <v>28</v>
      </c>
      <c r="B16">
        <v>25</v>
      </c>
      <c r="D16" s="1">
        <v>1.5</v>
      </c>
      <c r="E16" s="1">
        <f>B16*D16</f>
        <v>37.5</v>
      </c>
      <c r="F16"/>
      <c r="G16" s="1"/>
      <c r="H16" s="2" t="s">
        <v>36</v>
      </c>
    </row>
    <row r="17" spans="1:8" x14ac:dyDescent="0.35">
      <c r="A17" t="s">
        <v>34</v>
      </c>
      <c r="B17">
        <v>8</v>
      </c>
      <c r="D17" s="1">
        <v>2</v>
      </c>
      <c r="E17" s="1">
        <f>B17*D17</f>
        <v>16</v>
      </c>
      <c r="F17"/>
      <c r="G17" s="1"/>
      <c r="H17" s="2" t="s">
        <v>33</v>
      </c>
    </row>
    <row r="18" spans="1:8" x14ac:dyDescent="0.35">
      <c r="A18" t="s">
        <v>35</v>
      </c>
      <c r="B18">
        <v>16</v>
      </c>
      <c r="D18" s="1">
        <v>2</v>
      </c>
      <c r="E18" s="1">
        <f>B18*D18</f>
        <v>32</v>
      </c>
      <c r="F18"/>
      <c r="G18" s="1"/>
      <c r="H18" s="2" t="s">
        <v>23</v>
      </c>
    </row>
    <row r="19" spans="1:8" x14ac:dyDescent="0.35">
      <c r="A19" t="s">
        <v>31</v>
      </c>
      <c r="B19">
        <v>40</v>
      </c>
      <c r="D19" s="1">
        <v>1.5</v>
      </c>
      <c r="E19" s="1">
        <f>B19*D19</f>
        <v>60</v>
      </c>
    </row>
    <row r="20" spans="1:8" x14ac:dyDescent="0.35">
      <c r="A20" t="s">
        <v>32</v>
      </c>
      <c r="B20">
        <v>6</v>
      </c>
      <c r="D20" s="1">
        <v>1.5</v>
      </c>
      <c r="E20" s="1">
        <f>B20*D20</f>
        <v>9</v>
      </c>
    </row>
    <row r="21" spans="1:8" x14ac:dyDescent="0.35">
      <c r="A21" t="s">
        <v>37</v>
      </c>
      <c r="B21">
        <v>1</v>
      </c>
      <c r="D21" s="1">
        <v>2</v>
      </c>
      <c r="E21" s="1">
        <f>B21*D21</f>
        <v>2</v>
      </c>
      <c r="G21">
        <v>175</v>
      </c>
      <c r="H21" s="2" t="s">
        <v>38</v>
      </c>
    </row>
  </sheetData>
  <phoneticPr fontId="2" type="noConversion"/>
  <hyperlinks>
    <hyperlink ref="H4" r:id="rId1" xr:uid="{5249FA7E-244F-41E4-A220-5BB122C28167}"/>
    <hyperlink ref="H7" r:id="rId2" display="https://www.amazon.in/dp/B093ZZ4SMY/ref=sspa_dk_detail_1?pd_rd_i=B093ZXW938&amp;pd_rd_w=f0PqA&amp;content-id=amzn1.sym.67d3dec9-3503-44a1-a945-e969d04cca69&amp;pf_rd_p=67d3dec9-3503-44a1-a945-e969d04cca69&amp;pf_rd_r=E2TNDE9RB8TQSG353SAT&amp;pd_rd_wg=PnOSS&amp;pd_rd_r=91954914-8d24-4ee1-9f37-402b499c9059&amp;sp_csd=d2lkZ2V0TmFtZT1zcF9kZXRhaWxfdGhlbWF0aWM&amp;th=1" xr:uid="{EB8E82D2-AF40-4BA3-9E77-89CFAA604FED}"/>
    <hyperlink ref="H8" r:id="rId3" xr:uid="{63D95A08-E63B-4E48-B999-70F800C91867}"/>
    <hyperlink ref="H10" r:id="rId4" xr:uid="{BE6747B1-6E3C-44E6-A42B-08E45940C02C}"/>
    <hyperlink ref="H13" r:id="rId5" display="https://robu.in/product/easymech-cast-corner-bracket-for-20x20-aluminium-profile-silver-4-pcs/?gad_source=1&amp;gad_campaignid=17427803012&amp;gbraid=0AAAAADvLFWen4Lwnki8VUQt2y3aET95Vk&amp;gclid=Cj0KCQjwl5jHBhDHARIsAB0YqjwyIdbdizTU0SitX4kZT9dYWrTnfSV1oTxbzn5zKPfJxUvEIuivAXcaAlM0EALw_wcB#" xr:uid="{401ABC69-512D-4121-A38F-91404D0FAA14}"/>
    <hyperlink ref="H14" r:id="rId6" xr:uid="{620DD9C1-9C7C-4F38-8468-69E3E60C5EBB}"/>
    <hyperlink ref="H15" r:id="rId7" xr:uid="{BF42288A-855D-4AF4-8110-0420B22E4D1D}"/>
    <hyperlink ref="H17" r:id="rId8" xr:uid="{5B61EAC7-FAA9-4738-ADFE-4832EEF3165D}"/>
    <hyperlink ref="H18" r:id="rId9" xr:uid="{BA503AA3-3878-4C77-8CE5-6D535A7CF764}"/>
    <hyperlink ref="H16" r:id="rId10" xr:uid="{B1DF8262-3868-4D2E-BADC-B5A8A2E46E32}"/>
    <hyperlink ref="H21" r:id="rId11" xr:uid="{D27A027F-3EFF-4D0A-B918-2D8880A48F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Mehta</dc:creator>
  <cp:lastModifiedBy>Aditya Yadav 24110014</cp:lastModifiedBy>
  <dcterms:created xsi:type="dcterms:W3CDTF">2025-10-07T17:25:37Z</dcterms:created>
  <dcterms:modified xsi:type="dcterms:W3CDTF">2025-10-13T17:50:31Z</dcterms:modified>
</cp:coreProperties>
</file>